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BF319CD-1A9B-47FF-A886-6BE5D6F7F436}" xr6:coauthVersionLast="47" xr6:coauthVersionMax="47" xr10:uidLastSave="{00000000-0000-0000-0000-000000000000}"/>
  <bookViews>
    <workbookView xWindow="-120" yWindow="-120" windowWidth="20730" windowHeight="11160" xr2:uid="{9CDE8DD4-5C75-4F36-BCA4-19D07AAFD906}"/>
  </bookViews>
  <sheets>
    <sheet name="Sales_Orders" sheetId="2" r:id="rId1"/>
    <sheet name="Product_Catalog" sheetId="3" r:id="rId2"/>
    <sheet name="Customer_Profi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F2" i="2"/>
  <c r="F3" i="2"/>
  <c r="F4" i="2"/>
  <c r="F5" i="2"/>
  <c r="F6" i="2"/>
  <c r="F7" i="2"/>
  <c r="F8" i="2"/>
  <c r="F9" i="2"/>
  <c r="F10" i="2"/>
  <c r="F11" i="2"/>
</calcChain>
</file>

<file path=xl/sharedStrings.xml><?xml version="1.0" encoding="utf-8"?>
<sst xmlns="http://schemas.openxmlformats.org/spreadsheetml/2006/main" count="122" uniqueCount="72">
  <si>
    <t>Product_ID</t>
  </si>
  <si>
    <t>Product_Name</t>
  </si>
  <si>
    <t>Category</t>
  </si>
  <si>
    <t>Sub_Category</t>
  </si>
  <si>
    <t>COGS</t>
  </si>
  <si>
    <t>Original_Price</t>
  </si>
  <si>
    <t>PROD-001</t>
  </si>
  <si>
    <t>Apex Ergonomic Chair</t>
  </si>
  <si>
    <t>Office</t>
  </si>
  <si>
    <t>Furniture</t>
  </si>
  <si>
    <t>PROD-002</t>
  </si>
  <si>
    <t>Quantum Wireless Mouse</t>
  </si>
  <si>
    <t>Electronics</t>
  </si>
  <si>
    <t>Accessories</t>
  </si>
  <si>
    <t>PROD-003</t>
  </si>
  <si>
    <t>Titan Mechanical Keyboard</t>
  </si>
  <si>
    <t>electronics</t>
  </si>
  <si>
    <t>PROD-004</t>
  </si>
  <si>
    <t>Horizon 27" Monitor</t>
  </si>
  <si>
    <t>Monitors</t>
  </si>
  <si>
    <t>PROD-005</t>
  </si>
  <si>
    <t>Eco-Bamboo Desk Organizer</t>
  </si>
  <si>
    <t>Supplies</t>
  </si>
  <si>
    <t>PROD-006</t>
  </si>
  <si>
    <t>Zenith Noise-Canceling Headphones</t>
  </si>
  <si>
    <t>Audio</t>
  </si>
  <si>
    <t>PROD-007</t>
  </si>
  <si>
    <t>Atlas Leather Journal</t>
  </si>
  <si>
    <t>PROD-008</t>
  </si>
  <si>
    <t>Aero Standing Desk</t>
  </si>
  <si>
    <t>Customer_ID</t>
  </si>
  <si>
    <t>Signup_Date</t>
  </si>
  <si>
    <t>Country</t>
  </si>
  <si>
    <t>Segment</t>
  </si>
  <si>
    <t>Loyalty_Program</t>
  </si>
  <si>
    <t>CUST-101</t>
  </si>
  <si>
    <t>United States</t>
  </si>
  <si>
    <t>Corporate</t>
  </si>
  <si>
    <t>Yes</t>
  </si>
  <si>
    <t>CUST-102</t>
  </si>
  <si>
    <t>Canada</t>
  </si>
  <si>
    <t>Consumer</t>
  </si>
  <si>
    <t>No</t>
  </si>
  <si>
    <t>CUST-103</t>
  </si>
  <si>
    <t>United Kingdom</t>
  </si>
  <si>
    <t>CUST-104</t>
  </si>
  <si>
    <t>CUST-105</t>
  </si>
  <si>
    <t>Germany</t>
  </si>
  <si>
    <t>CUST-106</t>
  </si>
  <si>
    <t>CUST-107</t>
  </si>
  <si>
    <t>Order_ID</t>
  </si>
  <si>
    <t>Order_Date</t>
  </si>
  <si>
    <t>Quantity</t>
  </si>
  <si>
    <t>Unit_Price</t>
  </si>
  <si>
    <t>Gross_Revenue</t>
  </si>
  <si>
    <t>Shipping_Cost</t>
  </si>
  <si>
    <t>Status</t>
  </si>
  <si>
    <t>Return_Reason</t>
  </si>
  <si>
    <t>NX-1001</t>
  </si>
  <si>
    <t>Delivered</t>
  </si>
  <si>
    <t>NX-1002</t>
  </si>
  <si>
    <t>NX-1003</t>
  </si>
  <si>
    <t>Returned</t>
  </si>
  <si>
    <t>Damaged</t>
  </si>
  <si>
    <t>NX-1004</t>
  </si>
  <si>
    <t>NX-1005</t>
  </si>
  <si>
    <t>NX-1006</t>
  </si>
  <si>
    <t>NX-1007</t>
  </si>
  <si>
    <t>NX-1008</t>
  </si>
  <si>
    <t>Wrong Item</t>
  </si>
  <si>
    <t>NX-1009</t>
  </si>
  <si>
    <t>NX-1010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</si>
</sst>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" fillId="0" borderId="6" xfId="0" applyFont="1" applyBorder="1" applyAlignment="1">
      <alignment vertical="center"/>
    </xf>
    <xf numFmtId="14" fontId="1" fillId="0" borderId="8" xfId="0" applyNumberFormat="1" applyFont="1" applyBorder="1" applyAlignment="1">
      <alignment horizontal="right"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96420C-1818-4158-B46D-269C2B2C57FD}" name="tbl_Sales" displayName="tbl_Sales" ref="A1:J11" totalsRowShown="0" headerRowDxfId="2" tableBorderDxfId="11">
  <autoFilter ref="A1:J11" xr:uid="{0B96420C-1818-4158-B46D-269C2B2C57FD}"/>
  <tableColumns count="10">
    <tableColumn id="1" xr3:uid="{7C6070CA-36B2-4C42-8651-0BEA2969AE4E}" name="Order_ID" dataDxfId="10"/>
    <tableColumn id="2" xr3:uid="{0795D7C0-2404-4848-AAA9-C5926A784FEB}" name="Order_Date" dataDxfId="9"/>
    <tableColumn id="3" xr3:uid="{57800514-701B-470A-95CC-4236AA76C427}" name="Customer_ID" dataDxfId="8"/>
    <tableColumn id="4" xr3:uid="{E23BB5E3-47A0-496B-80CB-94CE1CD8266F}" name="Product_ID" dataDxfId="7"/>
    <tableColumn id="5" xr3:uid="{5D5B005B-2E8F-4654-B67F-2DA3BC5F4E57}" name="Quantity" dataDxfId="6"/>
    <tableColumn id="6" xr3:uid="{5AE04A58-3C36-4EFD-8981-9878E311B664}" name="Unit_Price" dataDxfId="1">
      <calculatedColumnFormula>_xlfn.XLOOKUP(tbl_Sales[[#This Row],[Product_ID]], tbl_Products[Product_ID], tbl_Products[Original_Price])</calculatedColumnFormula>
    </tableColumn>
    <tableColumn id="7" xr3:uid="{BB7F7262-C190-4C2A-BBA0-26F150ED6EBA}" name="Gross_Revenue" dataDxfId="0">
      <calculatedColumnFormula>tbl_Sales[[#This Row],[Quantity]] * tbl_Sales[[#This Row],[Unit_Price]]</calculatedColumnFormula>
    </tableColumn>
    <tableColumn id="8" xr3:uid="{04BB42F7-917A-4304-97F1-4B837890B57F}" name="Shipping_Cost" dataDxfId="5"/>
    <tableColumn id="9" xr3:uid="{D7C02976-74AC-4504-A520-34A4001F774C}" name="Status" dataDxfId="4"/>
    <tableColumn id="10" xr3:uid="{33DCAA10-FC75-4672-BE15-1407D974AADB}" name="Return_Reaso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0934AE-9269-484A-826A-88A97B2CEFB4}" name="tbl_Products" displayName="tbl_Products" ref="A1:F9" totalsRowShown="0" headerRowDxfId="21" dataDxfId="22" headerRowBorderDxfId="30" tableBorderDxfId="31" totalsRowBorderDxfId="29">
  <autoFilter ref="A1:F9" xr:uid="{150934AE-9269-484A-826A-88A97B2CEFB4}"/>
  <tableColumns count="6">
    <tableColumn id="1" xr3:uid="{37EA1493-74CB-474D-ADDB-0CE1F668A46F}" name="Product_ID" dataDxfId="28"/>
    <tableColumn id="2" xr3:uid="{C80FA028-FEF4-4A62-BBE1-E572952B61CD}" name="Product_Name" dataDxfId="27"/>
    <tableColumn id="3" xr3:uid="{3E61BF79-7FE0-449F-A660-3F2B60D19D7A}" name="Category" dataDxfId="26"/>
    <tableColumn id="4" xr3:uid="{40681FFC-DF74-4EF1-B00E-BC6A7BF0D668}" name="Sub_Category" dataDxfId="25"/>
    <tableColumn id="5" xr3:uid="{6FE081E4-4375-4835-9D98-F779F5D4B3D8}" name="COGS" dataDxfId="24"/>
    <tableColumn id="6" xr3:uid="{B667123F-7F6C-474E-B953-6F43A9CA1FB9}" name="Original_Price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D109A2-B783-4150-9522-C3163B276C9E}" name="tbl_Customers" displayName="tbl_Customers" ref="A1:E8" totalsRowShown="0" headerRowDxfId="12" headerRowBorderDxfId="19" tableBorderDxfId="20" totalsRowBorderDxfId="18">
  <autoFilter ref="A1:E8" xr:uid="{38D109A2-B783-4150-9522-C3163B276C9E}"/>
  <tableColumns count="5">
    <tableColumn id="1" xr3:uid="{1A297C54-801E-4D07-AFA7-18F171281AA7}" name="Customer_ID" dataDxfId="17"/>
    <tableColumn id="2" xr3:uid="{DBF72B2A-E5BD-48FD-A5C5-FB30EA89D0D5}" name="Signup_Date" dataDxfId="16"/>
    <tableColumn id="3" xr3:uid="{A4AF119B-F061-421A-AD97-730A3D511B29}" name="Country" dataDxfId="15"/>
    <tableColumn id="4" xr3:uid="{D6F3C0E4-C565-4198-B38C-26863D406259}" name="Segment" dataDxfId="14"/>
    <tableColumn id="5" xr3:uid="{7D03859B-A12D-48D9-9ECE-F6B4907FBA50}" name="Loyalty_Program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711E-86EB-48CE-B81A-1205CE11694B}">
  <dimension ref="A1:J11"/>
  <sheetViews>
    <sheetView tabSelected="1" workbookViewId="0">
      <selection activeCell="G3" sqref="G3"/>
    </sheetView>
  </sheetViews>
  <sheetFormatPr defaultRowHeight="15" x14ac:dyDescent="0.25"/>
  <cols>
    <col min="1" max="1" width="11.140625" customWidth="1"/>
    <col min="2" max="2" width="13.42578125" customWidth="1"/>
    <col min="3" max="3" width="14.5703125" customWidth="1"/>
    <col min="4" max="4" width="13" customWidth="1"/>
    <col min="5" max="5" width="10.7109375" customWidth="1"/>
    <col min="6" max="6" width="12.42578125" customWidth="1"/>
    <col min="7" max="7" width="17" customWidth="1"/>
    <col min="8" max="8" width="16.140625" customWidth="1"/>
    <col min="10" max="10" width="16.85546875" customWidth="1"/>
  </cols>
  <sheetData>
    <row r="1" spans="1:10" ht="27" thickBot="1" x14ac:dyDescent="0.3">
      <c r="A1" s="4" t="s">
        <v>50</v>
      </c>
      <c r="B1" s="1" t="s">
        <v>51</v>
      </c>
      <c r="C1" s="1" t="s">
        <v>30</v>
      </c>
      <c r="D1" s="1" t="s">
        <v>0</v>
      </c>
      <c r="E1" s="1" t="s">
        <v>52</v>
      </c>
      <c r="F1" t="s">
        <v>53</v>
      </c>
      <c r="G1" t="s">
        <v>54</v>
      </c>
      <c r="H1" s="1" t="s">
        <v>55</v>
      </c>
      <c r="I1" s="1" t="s">
        <v>56</v>
      </c>
      <c r="J1" s="5" t="s">
        <v>57</v>
      </c>
    </row>
    <row r="2" spans="1:10" ht="27" thickBot="1" x14ac:dyDescent="0.3">
      <c r="A2" s="4" t="s">
        <v>58</v>
      </c>
      <c r="B2" s="2">
        <v>45778</v>
      </c>
      <c r="C2" s="1" t="s">
        <v>35</v>
      </c>
      <c r="D2" s="1" t="s">
        <v>6</v>
      </c>
      <c r="E2" s="3">
        <v>2</v>
      </c>
      <c r="F2">
        <f>_xlfn.XLOOKUP(tbl_Sales[[#This Row],[Product_ID]], tbl_Products[Product_ID], tbl_Products[Original_Price])</f>
        <v>250</v>
      </c>
      <c r="G2">
        <f>tbl_Sales[[#This Row],[Quantity]] * tbl_Sales[[#This Row],[Unit_Price]]</f>
        <v>500</v>
      </c>
      <c r="H2" s="3">
        <v>25</v>
      </c>
      <c r="I2" s="1" t="s">
        <v>59</v>
      </c>
      <c r="J2" s="5"/>
    </row>
    <row r="3" spans="1:10" ht="27" thickBot="1" x14ac:dyDescent="0.3">
      <c r="A3" s="4" t="s">
        <v>60</v>
      </c>
      <c r="B3" s="2">
        <v>45779</v>
      </c>
      <c r="C3" s="1" t="s">
        <v>43</v>
      </c>
      <c r="D3" s="1" t="s">
        <v>10</v>
      </c>
      <c r="E3" s="3">
        <v>5</v>
      </c>
      <c r="F3">
        <f>_xlfn.XLOOKUP(tbl_Sales[[#This Row],[Product_ID]], tbl_Products[Product_ID], tbl_Products[Original_Price])</f>
        <v>45</v>
      </c>
      <c r="G3">
        <f>tbl_Sales[[#This Row],[Quantity]] * tbl_Sales[[#This Row],[Unit_Price]]</f>
        <v>225</v>
      </c>
      <c r="H3" s="3">
        <v>5.5</v>
      </c>
      <c r="I3" s="1" t="s">
        <v>59</v>
      </c>
      <c r="J3" s="5"/>
    </row>
    <row r="4" spans="1:10" ht="27" thickBot="1" x14ac:dyDescent="0.3">
      <c r="A4" s="4" t="s">
        <v>61</v>
      </c>
      <c r="B4" s="2">
        <v>45780</v>
      </c>
      <c r="C4" s="1" t="s">
        <v>39</v>
      </c>
      <c r="D4" s="1" t="s">
        <v>17</v>
      </c>
      <c r="E4" s="3">
        <v>1</v>
      </c>
      <c r="F4">
        <f>_xlfn.XLOOKUP(tbl_Sales[[#This Row],[Product_ID]], tbl_Products[Product_ID], tbl_Products[Original_Price])</f>
        <v>320</v>
      </c>
      <c r="G4">
        <f>tbl_Sales[[#This Row],[Quantity]] * tbl_Sales[[#This Row],[Unit_Price]]</f>
        <v>320</v>
      </c>
      <c r="H4" s="3">
        <v>15</v>
      </c>
      <c r="I4" s="1" t="s">
        <v>62</v>
      </c>
      <c r="J4" s="5" t="s">
        <v>63</v>
      </c>
    </row>
    <row r="5" spans="1:10" ht="27" thickBot="1" x14ac:dyDescent="0.3">
      <c r="A5" s="4" t="s">
        <v>64</v>
      </c>
      <c r="B5" s="2">
        <v>45781</v>
      </c>
      <c r="C5" s="1" t="s">
        <v>46</v>
      </c>
      <c r="D5" s="1" t="s">
        <v>23</v>
      </c>
      <c r="E5" s="3">
        <v>1</v>
      </c>
      <c r="F5">
        <f>_xlfn.XLOOKUP(tbl_Sales[[#This Row],[Product_ID]], tbl_Products[Product_ID], tbl_Products[Original_Price])</f>
        <v>150</v>
      </c>
      <c r="G5">
        <f>tbl_Sales[[#This Row],[Quantity]] * tbl_Sales[[#This Row],[Unit_Price]]</f>
        <v>150</v>
      </c>
      <c r="H5" s="3">
        <v>12</v>
      </c>
      <c r="I5" s="1" t="s">
        <v>59</v>
      </c>
      <c r="J5" s="5"/>
    </row>
    <row r="6" spans="1:10" ht="27" thickBot="1" x14ac:dyDescent="0.3">
      <c r="A6" s="4" t="s">
        <v>65</v>
      </c>
      <c r="B6" s="2">
        <v>45782</v>
      </c>
      <c r="C6" s="1" t="s">
        <v>45</v>
      </c>
      <c r="D6" s="1" t="s">
        <v>14</v>
      </c>
      <c r="E6" s="3">
        <v>3</v>
      </c>
      <c r="F6">
        <f>_xlfn.XLOOKUP(tbl_Sales[[#This Row],[Product_ID]], tbl_Products[Product_ID], tbl_Products[Original_Price])</f>
        <v>90</v>
      </c>
      <c r="G6">
        <f>tbl_Sales[[#This Row],[Quantity]] * tbl_Sales[[#This Row],[Unit_Price]]</f>
        <v>270</v>
      </c>
      <c r="H6" s="3">
        <v>8.5</v>
      </c>
      <c r="I6" s="1" t="s">
        <v>59</v>
      </c>
      <c r="J6" s="5"/>
    </row>
    <row r="7" spans="1:10" ht="27" thickBot="1" x14ac:dyDescent="0.3">
      <c r="A7" s="4" t="s">
        <v>66</v>
      </c>
      <c r="B7" s="2">
        <v>45783</v>
      </c>
      <c r="C7" s="1" t="s">
        <v>35</v>
      </c>
      <c r="D7" s="1" t="s">
        <v>20</v>
      </c>
      <c r="E7" s="3">
        <v>10</v>
      </c>
      <c r="F7">
        <f>_xlfn.XLOOKUP(tbl_Sales[[#This Row],[Product_ID]], tbl_Products[Product_ID], tbl_Products[Original_Price])</f>
        <v>22</v>
      </c>
      <c r="G7">
        <f>tbl_Sales[[#This Row],[Quantity]] * tbl_Sales[[#This Row],[Unit_Price]]</f>
        <v>220</v>
      </c>
      <c r="H7" s="3">
        <v>4</v>
      </c>
      <c r="I7" s="1" t="s">
        <v>59</v>
      </c>
      <c r="J7" s="5"/>
    </row>
    <row r="8" spans="1:10" ht="27" thickBot="1" x14ac:dyDescent="0.3">
      <c r="A8" s="4" t="s">
        <v>67</v>
      </c>
      <c r="B8" s="2">
        <v>45784</v>
      </c>
      <c r="C8" s="1" t="s">
        <v>48</v>
      </c>
      <c r="D8" s="1" t="s">
        <v>28</v>
      </c>
      <c r="E8" s="3">
        <v>1</v>
      </c>
      <c r="F8">
        <f>_xlfn.XLOOKUP(tbl_Sales[[#This Row],[Product_ID]], tbl_Products[Product_ID], tbl_Products[Original_Price])</f>
        <v>450</v>
      </c>
      <c r="G8">
        <f>tbl_Sales[[#This Row],[Quantity]] * tbl_Sales[[#This Row],[Unit_Price]]</f>
        <v>450</v>
      </c>
      <c r="H8" s="3">
        <v>45</v>
      </c>
      <c r="I8" s="1" t="s">
        <v>59</v>
      </c>
      <c r="J8" s="5"/>
    </row>
    <row r="9" spans="1:10" ht="27" thickBot="1" x14ac:dyDescent="0.3">
      <c r="A9" s="4" t="s">
        <v>68</v>
      </c>
      <c r="B9" s="2">
        <v>45785</v>
      </c>
      <c r="C9" s="1" t="s">
        <v>49</v>
      </c>
      <c r="D9" s="1" t="s">
        <v>10</v>
      </c>
      <c r="E9" s="3">
        <v>2</v>
      </c>
      <c r="F9">
        <f>_xlfn.XLOOKUP(tbl_Sales[[#This Row],[Product_ID]], tbl_Products[Product_ID], tbl_Products[Original_Price])</f>
        <v>45</v>
      </c>
      <c r="G9">
        <f>tbl_Sales[[#This Row],[Quantity]] * tbl_Sales[[#This Row],[Unit_Price]]</f>
        <v>90</v>
      </c>
      <c r="H9" s="3">
        <v>5.5</v>
      </c>
      <c r="I9" s="1" t="s">
        <v>62</v>
      </c>
      <c r="J9" s="5" t="s">
        <v>69</v>
      </c>
    </row>
    <row r="10" spans="1:10" ht="27" thickBot="1" x14ac:dyDescent="0.3">
      <c r="A10" s="4" t="s">
        <v>70</v>
      </c>
      <c r="B10" s="2">
        <v>45786</v>
      </c>
      <c r="C10" s="1" t="s">
        <v>43</v>
      </c>
      <c r="D10" s="1" t="s">
        <v>26</v>
      </c>
      <c r="E10" s="3">
        <v>4</v>
      </c>
      <c r="F10">
        <f>_xlfn.XLOOKUP(tbl_Sales[[#This Row],[Product_ID]], tbl_Products[Product_ID], tbl_Products[Original_Price])</f>
        <v>18</v>
      </c>
      <c r="G10">
        <f>tbl_Sales[[#This Row],[Quantity]] * tbl_Sales[[#This Row],[Unit_Price]]</f>
        <v>72</v>
      </c>
      <c r="H10" s="3">
        <v>3</v>
      </c>
      <c r="I10" s="1" t="s">
        <v>59</v>
      </c>
      <c r="J10" s="5"/>
    </row>
    <row r="11" spans="1:10" ht="27" thickBot="1" x14ac:dyDescent="0.3">
      <c r="A11" s="4" t="s">
        <v>71</v>
      </c>
      <c r="B11" s="2">
        <v>45787</v>
      </c>
      <c r="C11" s="1" t="s">
        <v>45</v>
      </c>
      <c r="D11" s="1" t="s">
        <v>17</v>
      </c>
      <c r="E11" s="3">
        <v>2</v>
      </c>
      <c r="F11">
        <f>_xlfn.XLOOKUP(tbl_Sales[[#This Row],[Product_ID]], tbl_Products[Product_ID], tbl_Products[Original_Price])</f>
        <v>320</v>
      </c>
      <c r="G11">
        <f>tbl_Sales[[#This Row],[Quantity]] * tbl_Sales[[#This Row],[Unit_Price]]</f>
        <v>640</v>
      </c>
      <c r="H11" s="3">
        <v>20</v>
      </c>
      <c r="I11" s="1" t="s">
        <v>59</v>
      </c>
      <c r="J11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4335-7E38-46AA-894C-7A6F07A90C81}">
  <dimension ref="A1:F9"/>
  <sheetViews>
    <sheetView workbookViewId="0">
      <selection sqref="A1:F9"/>
    </sheetView>
  </sheetViews>
  <sheetFormatPr defaultRowHeight="15" x14ac:dyDescent="0.25"/>
  <cols>
    <col min="1" max="1" width="13" customWidth="1"/>
    <col min="2" max="2" width="16.42578125" customWidth="1"/>
    <col min="3" max="3" width="11.28515625" customWidth="1"/>
    <col min="4" max="4" width="15.85546875" customWidth="1"/>
    <col min="6" max="6" width="16.140625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27" thickBot="1" x14ac:dyDescent="0.3">
      <c r="A2" s="4" t="s">
        <v>6</v>
      </c>
      <c r="B2" s="1" t="s">
        <v>7</v>
      </c>
      <c r="C2" s="1" t="s">
        <v>8</v>
      </c>
      <c r="D2" s="1" t="s">
        <v>9</v>
      </c>
      <c r="E2" s="3">
        <v>120</v>
      </c>
      <c r="F2" s="6">
        <v>250</v>
      </c>
    </row>
    <row r="3" spans="1:6" ht="27" thickBot="1" x14ac:dyDescent="0.3">
      <c r="A3" s="4" t="s">
        <v>10</v>
      </c>
      <c r="B3" s="1" t="s">
        <v>11</v>
      </c>
      <c r="C3" s="1" t="s">
        <v>12</v>
      </c>
      <c r="D3" s="1" t="s">
        <v>13</v>
      </c>
      <c r="E3" s="3">
        <v>15</v>
      </c>
      <c r="F3" s="6">
        <v>45</v>
      </c>
    </row>
    <row r="4" spans="1:6" ht="27" thickBot="1" x14ac:dyDescent="0.3">
      <c r="A4" s="4" t="s">
        <v>14</v>
      </c>
      <c r="B4" s="1" t="s">
        <v>15</v>
      </c>
      <c r="C4" s="1" t="s">
        <v>16</v>
      </c>
      <c r="D4" s="1" t="s">
        <v>13</v>
      </c>
      <c r="E4" s="3">
        <v>40</v>
      </c>
      <c r="F4" s="6">
        <v>90</v>
      </c>
    </row>
    <row r="5" spans="1:6" ht="27" thickBot="1" x14ac:dyDescent="0.3">
      <c r="A5" s="4" t="s">
        <v>17</v>
      </c>
      <c r="B5" s="1" t="s">
        <v>18</v>
      </c>
      <c r="C5" s="1" t="s">
        <v>12</v>
      </c>
      <c r="D5" s="1" t="s">
        <v>19</v>
      </c>
      <c r="E5" s="3">
        <v>180</v>
      </c>
      <c r="F5" s="6">
        <v>320</v>
      </c>
    </row>
    <row r="6" spans="1:6" ht="27" thickBot="1" x14ac:dyDescent="0.3">
      <c r="A6" s="4" t="s">
        <v>20</v>
      </c>
      <c r="B6" s="1" t="s">
        <v>21</v>
      </c>
      <c r="C6" s="1" t="s">
        <v>8</v>
      </c>
      <c r="D6" s="1" t="s">
        <v>22</v>
      </c>
      <c r="E6" s="3">
        <v>8</v>
      </c>
      <c r="F6" s="6">
        <v>22</v>
      </c>
    </row>
    <row r="7" spans="1:6" ht="39.75" thickBot="1" x14ac:dyDescent="0.3">
      <c r="A7" s="4" t="s">
        <v>23</v>
      </c>
      <c r="B7" s="1" t="s">
        <v>24</v>
      </c>
      <c r="C7" s="1" t="s">
        <v>12</v>
      </c>
      <c r="D7" s="1" t="s">
        <v>25</v>
      </c>
      <c r="E7" s="3">
        <v>75</v>
      </c>
      <c r="F7" s="6">
        <v>150</v>
      </c>
    </row>
    <row r="8" spans="1:6" ht="27" thickBot="1" x14ac:dyDescent="0.3">
      <c r="A8" s="4" t="s">
        <v>26</v>
      </c>
      <c r="B8" s="1" t="s">
        <v>27</v>
      </c>
      <c r="C8" s="1" t="s">
        <v>8</v>
      </c>
      <c r="D8" s="1" t="s">
        <v>22</v>
      </c>
      <c r="E8" s="3">
        <v>5</v>
      </c>
      <c r="F8" s="6">
        <v>18</v>
      </c>
    </row>
    <row r="9" spans="1:6" ht="26.25" x14ac:dyDescent="0.25">
      <c r="A9" s="10" t="s">
        <v>28</v>
      </c>
      <c r="B9" s="11" t="s">
        <v>29</v>
      </c>
      <c r="C9" s="11" t="s">
        <v>8</v>
      </c>
      <c r="D9" s="11" t="s">
        <v>9</v>
      </c>
      <c r="E9" s="12">
        <v>210</v>
      </c>
      <c r="F9" s="13">
        <v>450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19F7-B2C9-4E67-B3D9-9B37257B9415}">
  <dimension ref="A1:E8"/>
  <sheetViews>
    <sheetView workbookViewId="0">
      <selection sqref="A1:E8"/>
    </sheetView>
  </sheetViews>
  <sheetFormatPr defaultRowHeight="15" x14ac:dyDescent="0.25"/>
  <cols>
    <col min="1" max="1" width="14.5703125" customWidth="1"/>
    <col min="2" max="2" width="14.7109375" customWidth="1"/>
    <col min="3" max="3" width="10.140625" customWidth="1"/>
    <col min="4" max="4" width="11.28515625" customWidth="1"/>
    <col min="5" max="5" width="18.5703125" customWidth="1"/>
  </cols>
  <sheetData>
    <row r="1" spans="1:5" ht="15.75" thickBot="1" x14ac:dyDescent="0.3">
      <c r="A1" s="7" t="s">
        <v>30</v>
      </c>
      <c r="B1" s="8" t="s">
        <v>31</v>
      </c>
      <c r="C1" s="8" t="s">
        <v>32</v>
      </c>
      <c r="D1" s="8" t="s">
        <v>33</v>
      </c>
      <c r="E1" s="14" t="s">
        <v>34</v>
      </c>
    </row>
    <row r="2" spans="1:5" ht="27" thickBot="1" x14ac:dyDescent="0.3">
      <c r="A2" s="4" t="s">
        <v>35</v>
      </c>
      <c r="B2" s="2">
        <v>45306</v>
      </c>
      <c r="C2" s="1" t="s">
        <v>36</v>
      </c>
      <c r="D2" s="1" t="s">
        <v>37</v>
      </c>
      <c r="E2" s="5" t="s">
        <v>38</v>
      </c>
    </row>
    <row r="3" spans="1:5" ht="27" thickBot="1" x14ac:dyDescent="0.3">
      <c r="A3" s="4" t="s">
        <v>39</v>
      </c>
      <c r="B3" s="2">
        <v>45340</v>
      </c>
      <c r="C3" s="1" t="s">
        <v>40</v>
      </c>
      <c r="D3" s="1" t="s">
        <v>41</v>
      </c>
      <c r="E3" s="5" t="s">
        <v>42</v>
      </c>
    </row>
    <row r="4" spans="1:5" ht="27" thickBot="1" x14ac:dyDescent="0.3">
      <c r="A4" s="4" t="s">
        <v>43</v>
      </c>
      <c r="B4" s="2">
        <v>45356</v>
      </c>
      <c r="C4" s="1" t="s">
        <v>44</v>
      </c>
      <c r="D4" s="1" t="s">
        <v>41</v>
      </c>
      <c r="E4" s="5" t="s">
        <v>38</v>
      </c>
    </row>
    <row r="5" spans="1:5" ht="27" thickBot="1" x14ac:dyDescent="0.3">
      <c r="A5" s="4" t="s">
        <v>45</v>
      </c>
      <c r="B5" s="2">
        <v>45363</v>
      </c>
      <c r="C5" s="1" t="s">
        <v>36</v>
      </c>
      <c r="D5" s="1" t="s">
        <v>41</v>
      </c>
      <c r="E5" s="5"/>
    </row>
    <row r="6" spans="1:5" ht="27" thickBot="1" x14ac:dyDescent="0.3">
      <c r="A6" s="4" t="s">
        <v>46</v>
      </c>
      <c r="B6" s="2">
        <v>45404</v>
      </c>
      <c r="C6" s="1" t="s">
        <v>47</v>
      </c>
      <c r="D6" s="1" t="s">
        <v>37</v>
      </c>
      <c r="E6" s="5" t="s">
        <v>42</v>
      </c>
    </row>
    <row r="7" spans="1:5" ht="27" thickBot="1" x14ac:dyDescent="0.3">
      <c r="A7" s="4" t="s">
        <v>48</v>
      </c>
      <c r="B7" s="2">
        <v>45413</v>
      </c>
      <c r="C7" s="1" t="s">
        <v>36</v>
      </c>
      <c r="D7" s="1" t="s">
        <v>37</v>
      </c>
      <c r="E7" s="5" t="s">
        <v>38</v>
      </c>
    </row>
    <row r="8" spans="1:5" x14ac:dyDescent="0.25">
      <c r="A8" s="10" t="s">
        <v>49</v>
      </c>
      <c r="B8" s="15">
        <v>45431</v>
      </c>
      <c r="C8" s="11" t="s">
        <v>40</v>
      </c>
      <c r="D8" s="11" t="s">
        <v>41</v>
      </c>
      <c r="E8" s="16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Sales_Orders</vt:lpstr>
      <vt:lpstr>Product_Catalog</vt:lpstr>
      <vt:lpstr>Customer_Profiles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Shahidul Islam</dc:creator>
  <cp:lastModifiedBy>Shahidul Islam</cp:lastModifiedBy>
  <dcterms:created xsi:type="dcterms:W3CDTF">2026-05-18T19:14:17Z</dcterms:created>
  <dcterms:modified xsi:type="dcterms:W3CDTF">2026-05-18T19:34:12Z</dcterms:modified>
</cp:coreProperties>
</file>